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7f700991b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对比" sheetId="1" r:id="R5c72eb0d04c94e2f"/>
    <x:sheet xmlns:r="http://schemas.openxmlformats.org/officeDocument/2006/relationships" name="匹配明细" sheetId="2" r:id="Rb4b685553b164b87"/>
    <x:sheet xmlns:r="http://schemas.openxmlformats.org/officeDocument/2006/relationships" name="待核验与筛除" sheetId="3" r:id="R105c9f7ab4104382"/>
    <x:sheet xmlns:r="http://schemas.openxmlformats.org/officeDocument/2006/relationships" name="规则与档案" sheetId="4" r:id="R0f06742470fb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color rgb="FF243247"/>
      <x:name val="Noto Sans CJK SC"/>
    </x:font>
    <x:font>
      <x:b/>
      <x:sz val="11"/>
      <x:color rgb="FFFFFFFF"/>
      <x:name val="Noto Sans CJK SC"/>
    </x:font>
    <x:font>
      <x:b/>
      <x:sz val="16"/>
      <x:color rgb="FF243247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43C60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e9f6e0fad4b91" /><Relationship Type="http://schemas.openxmlformats.org/officeDocument/2006/relationships/theme" Target="/xl/theme/theme1.xml" Id="Ra03c3a4c18634f0d" /><Relationship Type="http://schemas.openxmlformats.org/officeDocument/2006/relationships/sharedStrings" Target="/xl/sharedStrings.xml" Id="Re650b1b888494ea4" /><Relationship Type="http://schemas.openxmlformats.org/officeDocument/2006/relationships/worksheet" Target="/xl/worksheets/sheet1.xml" Id="R5c72eb0d04c94e2f" /><Relationship Type="http://schemas.openxmlformats.org/officeDocument/2006/relationships/worksheet" Target="/xl/worksheets/sheet2.xml" Id="Rb4b685553b164b87" /><Relationship Type="http://schemas.openxmlformats.org/officeDocument/2006/relationships/worksheet" Target="/xl/worksheets/sheet3.xml" Id="R105c9f7ab4104382" /><Relationship Type="http://schemas.openxmlformats.org/officeDocument/2006/relationships/worksheet" Target="/xl/worksheets/sheet4.xml" Id="R0f06742470fb4fd7" /></Relationships>
</file>

<file path=xl/tables/table1.xml><?xml version="1.0" encoding="utf-8"?>
<x:table xmlns:x="http://schemas.openxmlformats.org/spreadsheetml/2006/main" id="4" name="Table0" displayName="Table0" ref="A4:P7" headerRowCount="1" totalsRowCount="0" totalsRowShown="0">
  <x:tableColumns count="16">
    <x:tableColumn id="1" name="ID"/>
    <x:tableColumn id="2" name="公司"/>
    <x:tableColumn id="3" name="岗位名称"/>
    <x:tableColumn id="4" name="地点"/>
    <x:tableColumn id="5" name="招聘类型"/>
    <x:tableColumn id="6" name="资格"/>
    <x:tableColumn id="7" name="模拟匹配分"/>
    <x:tableColumn id="8" name="模拟投递优先级"/>
    <x:tableColumn id="9" name="条件性证据分"/>
    <x:tableColumn id="10" name="有效权重"/>
    <x:tableColumn id="11" name="主要缺口"/>
    <x:tableColumn id="12" name="来源链接"/>
    <x:tableColumn id="13" name="完整JD（点击查看全文）"/>
    <x:tableColumn id="14" name="读取时间"/>
    <x:tableColumn id="15" name="招聘状态"/>
    <x:tableColumn id="16" name="简历修改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" displayName="Table1" ref="A4:H37" headerRowCount="1" totalsRowCount="0" totalsRowShown="0">
  <x:tableColumns count="8">
    <x:tableColumn id="1" name="岗位ID"/>
    <x:tableColumn id="2" name="维度"/>
    <x:tableColumn id="3" name="JD要求（拆解）"/>
    <x:tableColumn id="4" name="证据ID"/>
    <x:tableColumn id="5" name="等级依据／缺口"/>
    <x:tableColumn id="6" name="证据比例（可改）"/>
    <x:tableColumn id="7" name="单项权重"/>
    <x:tableColumn id="8" name="单项得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A4:G7" headerRowCount="1" totalsRowCount="0" totalsRowShown="0">
  <x:tableColumns count="7">
    <x:tableColumn id="1" name="岗位ID"/>
    <x:tableColumn id="2" name="岗位"/>
    <x:tableColumn id="3" name="资格状态"/>
    <x:tableColumn id="4" name="待核验内容"/>
    <x:tableColumn id="5" name="已有证据"/>
    <x:tableColumn id="6" name="下一步"/>
    <x:tableColumn id="7" name="处理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Table3" displayName="Table3" ref="A4:C25" headerRowCount="1" totalsRowCount="0" totalsRowShown="0">
  <x:tableColumns count="3">
    <x:tableColumn id="1" name="维度／证据ID"/>
    <x:tableColumn id="2" name="权重／类别"/>
    <x:tableColumn id="3" name="规则／固定虚构档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fd153921fd4b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a70ef7925849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732cc82c3c48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0de4ad5ed242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29" hidden="0" customWidth="1"/>
    <x:col min="5" max="5" width="27" hidden="0" customWidth="1"/>
    <x:col min="6" max="6" width="17" hidden="0" customWidth="1"/>
    <x:col min="7" max="7" width="20" hidden="0" customWidth="1"/>
    <x:col min="8" max="8" width="20" hidden="0" customWidth="1"/>
    <x:col min="9" max="9" width="22" hidden="0" customWidth="1"/>
    <x:col min="10" max="10" width="16" hidden="0" customWidth="1"/>
    <x:col min="11" max="11" width="65" hidden="0" customWidth="1"/>
    <x:col min="12" max="12" width="66" hidden="0" customWidth="1"/>
    <x:col min="13" max="13" width="95" hidden="0" customWidth="1"/>
    <x:col min="14" max="14" width="24" hidden="0" customWidth="1"/>
    <x:col min="15" max="15" width="57" hidden="0" customWidth="1"/>
    <x:col min="16" max="16" width="8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8" t="str">
        <x:v>腾讯公开岗位与虚构候选人对比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9" t="str">
        <x:v>模拟场景：候选资格已补齐；假设校招日期范围及全职类型符合。真实招聘状态见待核验表。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4" customHeight="1">
      <x:c r="A4" s="5" t="str">
        <x:v>ID</x:v>
      </x:c>
      <x:c r="B4" s="5" t="str">
        <x:v>公司</x:v>
      </x:c>
      <x:c r="C4" s="5" t="str">
        <x:v>岗位名称</x:v>
      </x:c>
      <x:c r="D4" s="5" t="str">
        <x:v>地点</x:v>
      </x:c>
      <x:c r="E4" s="5" t="str">
        <x:v>招聘类型</x:v>
      </x:c>
      <x:c r="F4" s="5" t="str">
        <x:v>资格</x:v>
      </x:c>
      <x:c r="G4" s="5" t="str">
        <x:v>模拟匹配分</x:v>
      </x:c>
      <x:c r="H4" s="5" t="str">
        <x:v>模拟投递优先级</x:v>
      </x:c>
      <x:c r="I4" s="5" t="str">
        <x:v>条件性证据分</x:v>
      </x:c>
      <x:c r="J4" s="5" t="str">
        <x:v>有效权重</x:v>
      </x:c>
      <x:c r="K4" s="5" t="str">
        <x:v>主要缺口</x:v>
      </x:c>
      <x:c r="L4" s="5" t="str">
        <x:v>来源链接</x:v>
      </x:c>
      <x:c r="M4" s="5" t="str">
        <x:v>完整JD（点击查看全文）</x:v>
      </x:c>
      <x:c r="N4" s="5" t="str">
        <x:v>读取时间</x:v>
      </x:c>
      <x:c r="O4" s="5" t="str">
        <x:v>招聘状态</x:v>
      </x:c>
      <x:c r="P4" s="5" t="str">
        <x:v>简历修改建议</x:v>
      </x:c>
    </x:row>
    <x:row r="5" ht="95" customHeight="1">
      <x:c r="A5" s="3" t="str">
        <x:v>J001</x:v>
      </x:c>
      <x:c r="B5" s="3" t="str">
        <x:v>腾讯</x:v>
      </x:c>
      <x:c r="C5" s="3" t="str">
        <x:v>项目管理</x:v>
      </x:c>
      <x:c r="D5" s="3" t="str">
        <x:v>上海（列表含多城市）</x:v>
      </x:c>
      <x:c r="E5" s="3" t="str">
        <x:v>2027校招应届毕业生</x:v>
      </x:c>
      <x:c r="F5" s="3" t="str">
        <x:v>满足（模拟）</x:v>
      </x:c>
      <x:c r="G5" s="3" t="n">
        <x:f>IF(F5="满足（模拟）",I5,"")</x:f>
        <x:v>55</x:v>
      </x:c>
      <x:c r="H5" s="3" t="str">
        <x:f>IF(OR(F5&lt;&gt;"满足（模拟）",G5=""),"待判断",IF(AND(G5&gt;=75,COUNTIFS('匹配明细'!B5:B14,"核心职责",'匹配明细'!F5:F14,0)=0),"优先考虑",IF(G5&gt;=50,"次优先","低优先级")))</x:f>
        <x:v>次优先</x:v>
      </x:c>
      <x:c r="I5" s="3" t="n">
        <x:f>IF(COUNTBLANK('匹配明细'!F5:F14)&gt;0,"",ROUND(SUM('匹配明细'!H5:H14)/J5*100,1))</x:f>
        <x:v>55</x:v>
      </x:c>
      <x:c r="J5" s="3" t="n">
        <x:v>100</x:v>
      </x:c>
      <x:c r="K5" s="3" t="str">
        <x:v>课程敏捷知识仅属学习；没有软件工程实习或自动化项目管理实战。</x:v>
      </x:c>
      <x:c r="L5" s="3" t="str">
        <x:v>https://join.qq.com/post_detail.html?postid=1282707379615819776</x:v>
      </x:c>
      <x:c r="M5" s="3" t="str">
        <x:v>岗位描述
1、参与项目的管理与统筹，帮助团队合理的理解、判断需求及方向，并进行内外资源的部署，推动项目和需求的落地，确保高效达成项目目标；
2、协助合理规划项目和相关团队及合作机制，把控项目进度，风险预警、资源配置，关注合作细节，推动解决问题，并协助项目的复盘和总结；
3、协助优化团队资源结构，进行需求、人力、成本的分析，负责制定和优化工作流程，运用数字化工具和AI辅助项目管理（智能排期、风险预测、自动化报告等），将人工推进事务逐步标准化、流程化、智能化。
岗位要求
AI应用技能：善于借助AI工具拆解复杂问题、探索解决方案，并能对AI 的输出进行高质量判断，具备人机协同的工作意识和习惯。
专业能力：了解项目开发过程、敏捷项目管理理论。
其他：1、乐观开朗、善于沟通、擅长协作、乐于用自己的能量感染他人；2、拥有明确的职业规划，立足于项目管理岗位长期发展。3、对AI辅助项目管理工具和方法有兴趣，愿意探索项目管理智能化的可能性。
加分项或注意事项
1、有软件工程实习经历背景；2、积极参与学生社团相关工作，担任过主要职务。</x:v>
      </x:c>
      <x:c r="N5" s="3" t="str">
        <x:v>2026-10-03 UTC</x:v>
      </x:c>
      <x:c r="O5" s="3" t="str">
        <x:v>详情可读、有投递按钮；未核验名额</x:v>
      </x:c>
      <x:c r="P5" s="3" t="str">
        <x:v>突出排期分工、异常处理、复盘和AI人工核验；敏捷仅写课程了解。</x:v>
      </x:c>
    </x:row>
    <x:row r="6" ht="95" customHeight="1">
      <x:c r="A6" s="3" t="str">
        <x:v>J002</x:v>
      </x:c>
      <x:c r="B6" s="3" t="str">
        <x:v>腾讯</x:v>
      </x:c>
      <x:c r="C6" s="3" t="str">
        <x:v>市场营销</x:v>
      </x:c>
      <x:c r="D6" s="3" t="str">
        <x:v>上海（列表含多城市）</x:v>
      </x:c>
      <x:c r="E6" s="3" t="str">
        <x:v>2027校招应届毕业生</x:v>
      </x:c>
      <x:c r="F6" s="3" t="str">
        <x:v>满足（模拟）</x:v>
      </x:c>
      <x:c r="G6" s="3" t="n">
        <x:f>IF(F6="满足（模拟）",I6,"")</x:f>
        <x:v>55</x:v>
      </x:c>
      <x:c r="H6" s="3" t="str">
        <x:f>IF(OR(F6&lt;&gt;"满足（模拟）",G6=""),"待判断",IF(AND(G6&gt;=75,COUNTIFS('匹配明细'!B15:B25,"核心职责",'匹配明细'!F15:F25,0)=0),"优先考虑",IF(G6&gt;=50,"次优先","低优先级")))</x:f>
        <x:v>次优先</x:v>
      </x:c>
      <x:c r="I6" s="3" t="n">
        <x:f>IF(COUNTBLANK('匹配明细'!F15:F25)&gt;0,"",ROUND(SUM('匹配明细'!H15:H25)/J6*100,1))</x:f>
        <x:v>55</x:v>
      </x:c>
      <x:c r="J6" s="3" t="n">
        <x:v>100</x:v>
      </x:c>
      <x:c r="K6" s="3" t="str">
        <x:v>无品牌定位、广告投放、增长转化或AI营销技术证据；四级不能等同英语流利。</x:v>
      </x:c>
      <x:c r="L6" s="3" t="str">
        <x:v>https://join.qq.com/post_detail.html?postid=1282707375417304064</x:v>
      </x:c>
      <x:c r="M6" s="3" t="str">
        <x:v>岗位描述
1、主动学习和洞察目标市场和用户需求，借助AI分析工具深度挖掘用户行为数据，协助提炼品牌价值定位和AI时代的营销策略；
2、通过品牌、创意、内容、渠道和活动等多种营销手段实现产品/平台/服务的品牌建设和相关营销/销售目标，并在指导下能有效跟进和管理项目全周期，确保项目进度和质量；积极探索AI在精准投放、个性化推荐、用户增长中的应用；
3、具备数据决策思维，可通过数据分析优化营销策略，提升营销触达、影响和转化效果。有创新意识，持续探索创新的营销方式和手段；
4、保持对AI营销技术（智能投放、CDP、营销自动化等）的敏锐关注，持续探索创新的营销方式。
岗位要求
AI应用技能：善于借助AI工具拆解复杂问题、探索解决方案，并能对AI 的输出进行高质量判断，具备人机协同的工作意识和习惯。
专业能力：1、市场营销、商务管理等相关专业优先，或对市场营销有浓厚兴趣，具备创新思维和敏锐的市场洞察力；2、具备商业意识和数据敏感度，优秀的沟通协调能力、逻辑归纳推理能力和方案呈现能力。
其他：1、热爱互联网，熟悉互联网的主要发展方向，对AI在营销领域的应用有认知和好奇心；2、有较高的责任心以及目标导向的落地执行能力和问题解决能力。
加分项或注意事项
英语流利，或擅长个别小语种（韩语、日语）。</x:v>
      </x:c>
      <x:c r="N6" s="3" t="str">
        <x:v>2026-10-03 UTC</x:v>
      </x:c>
      <x:c r="O6" s="3" t="str">
        <x:v>详情可读、有投递按钮；未核验名额</x:v>
      </x:c>
      <x:c r="P6" s="3" t="str">
        <x:v>突出反馈分类、活动执行和呈现；不可写广告投放、品牌定位或增长成果。</x:v>
      </x:c>
    </x:row>
    <x:row r="7" ht="95" customHeight="1">
      <x:c r="A7" s="3" t="str">
        <x:v>J003</x:v>
      </x:c>
      <x:c r="B7" s="3" t="str">
        <x:v>腾讯</x:v>
      </x:c>
      <x:c r="C7" s="3" t="str">
        <x:v>秘书</x:v>
      </x:c>
      <x:c r="D7" s="3" t="str">
        <x:v>上海（列表含多城市）</x:v>
      </x:c>
      <x:c r="E7" s="3" t="str">
        <x:v>2027校招应届毕业生</x:v>
      </x:c>
      <x:c r="F7" s="3" t="str">
        <x:v>满足（模拟）</x:v>
      </x:c>
      <x:c r="G7" s="3" t="n">
        <x:f>IF(F7="满足（模拟）",I7,"")</x:f>
        <x:v>53.2</x:v>
      </x:c>
      <x:c r="H7" s="3" t="str">
        <x:f>IF(OR(F7&lt;&gt;"满足（模拟）",G7=""),"待判断",IF(AND(G7&gt;=75,COUNTIFS('匹配明细'!B26:B37,"核心职责",'匹配明细'!F26:F37,0)=0),"优先考虑",IF(G7&gt;=50,"次优先","低优先级")))</x:f>
        <x:v>次优先</x:v>
      </x:c>
      <x:c r="I7" s="3" t="n">
        <x:f>IF(COUNTBLANK('匹配明细'!F26:F37)&gt;0,"",ROUND(SUM('匹配明细'!H26:H37)/J7*100,1))</x:f>
        <x:v>53.2</x:v>
      </x:c>
      <x:c r="J7" s="3" t="n">
        <x:v>90</x:v>
      </x:c>
      <x:c r="K7" s="3" t="str">
        <x:v>缺管理层差旅、合同资产统筹、办公设备和大型团队活动证据；无法从简历推断人格或情绪管理。</x:v>
      </x:c>
      <x:c r="L7" s="3" t="str">
        <x:v>https://join.qq.com/post_detail.html?postid=1283045530146251776</x:v>
      </x:c>
      <x:c r="M7" s="3" t="str">
        <x:v>岗位描述
1、负责部门管理者的日程管理、会议支持、差旅支持等工作，并协助管理者做好部门管理及团队融合；
2、担任部门内各项职能类工作接口人，包括行政、人事、采购、资产、费用、合同、文档、资料管理等，统筹管理相关事务；
3、根据部门管理要求，协助制定并实施部门级管理规章制度及各项流程，并定期优化；
4、负责部门文化建设，结合组织需求，通过活动组织、氛围建设、荣誉激励等方式建立良好的组织氛围，提升组织活力；
5、及时传达公司下发的各类管理规定及要求，保障管理要求在部门的落地；
6、参与体系级活动组织，协助体系组织建设及文化落地。
岗位要求
1、本科及以上学历；2、热情开朗，为人正直，具备高效执行力，抗压性强，具备良好的时间管理、情绪管理及沟通能力；3、具备优秀的服务意识、高度责任感及团队合作精神，能够与同事保持良好的工作关系；4、工作例行化程度高，做事清晰有条理，具有全局观及项目预见性、前瞻意识；5、熟练运用各种日常办公软件及办公设备，能独立组织大型团队活动并有创新意识。
加分项或注意事项
1、有大型公司文秘实习经验；2、英语能力突出。</x:v>
      </x:c>
      <x:c r="N7" s="3" t="str">
        <x:v>2026-10-03 UTC</x:v>
      </x:c>
      <x:c r="O7" s="3" t="str">
        <x:v>详情可读、有投递按钮；未核验名额</x:v>
      </x:c>
      <x:c r="P7" s="3" t="str">
        <x:v>突出服务、排期、文档清单与活动协作；不可新增差旅、合同资产或大型文秘经验。</x:v>
      </x:c>
    </x:row>
  </x:sheetData>
  <x:pageMargins left="0.7" right="0.7" top="0.75" bottom="0.75" header="0.3" footer="0.3"/>
  <x:tableParts count="1">
    <x:tablePart xmlns:r="http://schemas.openxmlformats.org/officeDocument/2006/relationships" r:id="R87fd153921fd4bb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49" hidden="0" customWidth="1"/>
    <x:col min="4" max="4" width="22" hidden="0" customWidth="1"/>
    <x:col min="5" max="5" width="65" hidden="0" customWidth="1"/>
    <x:col min="6" max="6" width="19" hidden="0" customWidth="1"/>
    <x:col min="7" max="7" width="17" hidden="0" customWidth="1"/>
    <x:col min="8" max="8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8" customHeight="1">
      <x:c r="A2" s="8" t="str">
        <x:v>JD要求与证据评分</x:v>
      </x:c>
      <x:c r="B2" s="3"/>
      <x:c r="C2" s="3"/>
      <x:c r="D2" s="3"/>
      <x:c r="E2" s="3"/>
      <x:c r="F2" s="3"/>
      <x:c r="G2" s="3"/>
      <x:c r="H2" s="3"/>
    </x:row>
    <x:row r="3" ht="24" customHeight="1">
      <x:c r="A3" s="9"/>
      <x:c r="B3" s="3"/>
      <x:c r="C3" s="3"/>
      <x:c r="D3" s="3"/>
      <x:c r="E3" s="3"/>
      <x:c r="F3" s="3"/>
      <x:c r="G3" s="3"/>
      <x:c r="H3" s="3"/>
    </x:row>
    <x:row r="4" ht="34" customHeight="1">
      <x:c r="A4" s="5" t="str">
        <x:v>岗位ID</x:v>
      </x:c>
      <x:c r="B4" s="5" t="str">
        <x:v>维度</x:v>
      </x:c>
      <x:c r="C4" s="5" t="str">
        <x:v>JD要求（拆解）</x:v>
      </x:c>
      <x:c r="D4" s="5" t="str">
        <x:v>证据ID</x:v>
      </x:c>
      <x:c r="E4" s="5" t="str">
        <x:v>等级依据／缺口</x:v>
      </x:c>
      <x:c r="F4" s="5" t="str">
        <x:v>证据比例（可改）</x:v>
      </x:c>
      <x:c r="G4" s="5" t="str">
        <x:v>单项权重</x:v>
      </x:c>
      <x:c r="H4" s="5" t="str">
        <x:v>单项得分</x:v>
      </x:c>
    </x:row>
    <x:row r="5" ht="58" customHeight="1">
      <x:c r="A5" s="3" t="str">
        <x:v>J001</x:v>
      </x:c>
      <x:c r="B5" s="3" t="str">
        <x:v>核心职责</x:v>
      </x:c>
      <x:c r="C5" s="3" t="str">
        <x:v>管理统筹、判断需求和资源部署</x:v>
      </x:c>
      <x:c r="D5" s="3" t="str">
        <x:v>E002</x:v>
      </x:c>
      <x:c r="E5" s="3" t="str">
        <x:v>校园活动可迁移，非商业项目</x:v>
      </x:c>
      <x:c r="F5" s="7" t="n">
        <x:v>0.5</x:v>
      </x:c>
      <x:c r="G5" s="10" t="n">
        <x:f>'规则与档案'!B5/3</x:f>
        <x:v>13.333333333333334</x:v>
      </x:c>
      <x:c r="H5" s="10" t="n">
        <x:f>IF(F5="","",F5*G5)</x:f>
        <x:v>6.666666666666667</x:v>
      </x:c>
    </x:row>
    <x:row r="6" ht="58" customHeight="1">
      <x:c r="A6" s="3" t="str">
        <x:v>J001</x:v>
      </x:c>
      <x:c r="B6" s="3" t="str">
        <x:v>核心职责</x:v>
      </x:c>
      <x:c r="C6" s="3" t="str">
        <x:v>进度风险、问题处理与复盘</x:v>
      </x:c>
      <x:c r="D6" s="3" t="str">
        <x:v>E003</x:v>
      </x:c>
      <x:c r="E6" s="3" t="str">
        <x:v>活动异常处理可迁移</x:v>
      </x:c>
      <x:c r="F6" s="7" t="n">
        <x:v>0.5</x:v>
      </x:c>
      <x:c r="G6" s="10" t="n">
        <x:f>'规则与档案'!B5/3</x:f>
        <x:v>13.333333333333334</x:v>
      </x:c>
      <x:c r="H6" s="10" t="n">
        <x:f>IF(F6="","",F6*G6)</x:f>
        <x:v>6.666666666666667</x:v>
      </x:c>
    </x:row>
    <x:row r="7" ht="58" customHeight="1">
      <x:c r="A7" s="3" t="str">
        <x:v>J001</x:v>
      </x:c>
      <x:c r="B7" s="3" t="str">
        <x:v>核心职责</x:v>
      </x:c>
      <x:c r="C7" s="3" t="str">
        <x:v>需求人力成本分析与流程优化、AI管理数字化</x:v>
      </x:c>
      <x:c r="D7" s="3" t="str">
        <x:v>E002,E003,E004</x:v>
      </x:c>
      <x:c r="E7" s="3" t="str">
        <x:v>有表格和检查清单，无风险预测或自动化报告</x:v>
      </x:c>
      <x:c r="F7" s="7" t="n">
        <x:v>0.5</x:v>
      </x:c>
      <x:c r="G7" s="10" t="n">
        <x:f>'规则与档案'!B5/3</x:f>
        <x:v>13.333333333333334</x:v>
      </x:c>
      <x:c r="H7" s="10" t="n">
        <x:f>IF(F7="","",F7*G7)</x:f>
        <x:v>6.666666666666667</x:v>
      </x:c>
    </x:row>
    <x:row r="8" ht="58" customHeight="1">
      <x:c r="A8" s="3" t="str">
        <x:v>J001</x:v>
      </x:c>
      <x:c r="B8" s="3" t="str">
        <x:v>技能工具</x:v>
      </x:c>
      <x:c r="C8" s="3" t="str">
        <x:v>AI拆解复杂问题并判断输出</x:v>
      </x:c>
      <x:c r="D8" s="3" t="str">
        <x:v>E004</x:v>
      </x:c>
      <x:c r="E8" s="3" t="str">
        <x:v>实践明确，但限校园活动</x:v>
      </x:c>
      <x:c r="F8" s="7" t="n">
        <x:v>0.75</x:v>
      </x:c>
      <x:c r="G8" s="10" t="n">
        <x:f>'规则与档案'!B6/2</x:f>
        <x:v>12.5</x:v>
      </x:c>
      <x:c r="H8" s="10" t="n">
        <x:f>IF(F8="","",F8*G8)</x:f>
        <x:v>9.375</x:v>
      </x:c>
    </x:row>
    <x:row r="9" ht="58" customHeight="1">
      <x:c r="A9" s="3" t="str">
        <x:v>J001</x:v>
      </x:c>
      <x:c r="B9" s="3" t="str">
        <x:v>技能工具</x:v>
      </x:c>
      <x:c r="C9" s="3" t="str">
        <x:v>了解项目开发过程和敏捷理论</x:v>
      </x:c>
      <x:c r="D9" s="3" t="str">
        <x:v>E005</x:v>
      </x:c>
      <x:c r="E9" s="3" t="str">
        <x:v>仅课程学习</x:v>
      </x:c>
      <x:c r="F9" s="7" t="n">
        <x:v>0.25</x:v>
      </x:c>
      <x:c r="G9" s="10" t="n">
        <x:f>'规则与档案'!B6/2</x:f>
        <x:v>12.5</x:v>
      </x:c>
      <x:c r="H9" s="10" t="n">
        <x:f>IF(F9="","",F9*G9)</x:f>
        <x:v>3.125</x:v>
      </x:c>
    </x:row>
    <x:row r="10" ht="58" customHeight="1">
      <x:c r="A10" s="3" t="str">
        <x:v>J001</x:v>
      </x:c>
      <x:c r="B10" s="3" t="str">
        <x:v>执行协作</x:v>
      </x:c>
      <x:c r="C10" s="3" t="str">
        <x:v>沟通协作与带动团队</x:v>
      </x:c>
      <x:c r="D10" s="3" t="str">
        <x:v>E002,E003</x:v>
      </x:c>
      <x:c r="E10" s="3" t="str">
        <x:v>协调6人，规模有限；不推断性格</x:v>
      </x:c>
      <x:c r="F10" s="7" t="n">
        <x:v>0.75</x:v>
      </x:c>
      <x:c r="G10" s="10" t="n">
        <x:f>'规则与档案'!B7/2</x:f>
        <x:v>10</x:v>
      </x:c>
      <x:c r="H10" s="10" t="n">
        <x:f>IF(F10="","",F10*G10)</x:f>
        <x:v>7.5</x:v>
      </x:c>
    </x:row>
    <x:row r="11" ht="58" customHeight="1">
      <x:c r="A11" s="3" t="str">
        <x:v>J001</x:v>
      </x:c>
      <x:c r="B11" s="3" t="str">
        <x:v>执行协作</x:v>
      </x:c>
      <x:c r="C11" s="3" t="str">
        <x:v>长期项目管理规划</x:v>
      </x:c>
      <x:c r="D11" s="3" t="str">
        <x:v>E007</x:v>
      </x:c>
      <x:c r="E11" s="3" t="str">
        <x:v>方向相关，尚不明确限定项目管理</x:v>
      </x:c>
      <x:c r="F11" s="7" t="n">
        <x:v>0.5</x:v>
      </x:c>
      <x:c r="G11" s="10" t="n">
        <x:f>'规则与档案'!B7/2</x:f>
        <x:v>10</x:v>
      </x:c>
      <x:c r="H11" s="10" t="n">
        <x:f>IF(F11="","",F11*G11)</x:f>
        <x:v>5</x:v>
      </x:c>
    </x:row>
    <x:row r="12" ht="58" customHeight="1">
      <x:c r="A12" s="3" t="str">
        <x:v>J001</x:v>
      </x:c>
      <x:c r="B12" s="3" t="str">
        <x:v>行业业务</x:v>
      </x:c>
      <x:c r="C12" s="3" t="str">
        <x:v>对AI项目管理智能化有兴趣</x:v>
      </x:c>
      <x:c r="D12" s="3" t="str">
        <x:v>E004</x:v>
      </x:c>
      <x:c r="E12" s="3" t="str">
        <x:v>已有探索，范围有限</x:v>
      </x:c>
      <x:c r="F12" s="7" t="n">
        <x:v>0.75</x:v>
      </x:c>
      <x:c r="G12" s="10" t="n">
        <x:f>'规则与档案'!B8/1</x:f>
        <x:v>10</x:v>
      </x:c>
      <x:c r="H12" s="10" t="n">
        <x:f>IF(F12="","",F12*G12)</x:f>
        <x:v>7.5</x:v>
      </x:c>
    </x:row>
    <x:row r="13" ht="58" customHeight="1">
      <x:c r="A13" s="3" t="str">
        <x:v>J001</x:v>
      </x:c>
      <x:c r="B13" s="3" t="str">
        <x:v>明确加分项</x:v>
      </x:c>
      <x:c r="C13" s="3" t="str">
        <x:v>软件工程实习</x:v>
      </x:c>
      <x:c r="D13" s="3" t="str">
        <x:v>E006</x:v>
      </x:c>
      <x:c r="E13" s="3" t="str">
        <x:v>明确没有</x:v>
      </x:c>
      <x:c r="F13" s="7" t="n">
        <x:v>0</x:v>
      </x:c>
      <x:c r="G13" s="10" t="n">
        <x:f>'规则与档案'!B9/2</x:f>
        <x:v>2.5</x:v>
      </x:c>
      <x:c r="H13" s="10" t="str">
        <x:f>IF(F13="","",F13*G13)</x:f>
      </x:c>
    </x:row>
    <x:row r="14" ht="58" customHeight="1">
      <x:c r="A14" s="3" t="str">
        <x:v>J001</x:v>
      </x:c>
      <x:c r="B14" s="3" t="str">
        <x:v>明确加分项</x:v>
      </x:c>
      <x:c r="C14" s="3" t="str">
        <x:v>学生社团主要职务</x:v>
      </x:c>
      <x:c r="D14" s="3" t="str">
        <x:v>E002</x:v>
      </x:c>
      <x:c r="E14" s="3" t="str">
        <x:v>活动负责人直接对应</x:v>
      </x:c>
      <x:c r="F14" s="7" t="n">
        <x:v>1</x:v>
      </x:c>
      <x:c r="G14" s="10" t="n">
        <x:f>'规则与档案'!B9/2</x:f>
        <x:v>2.5</x:v>
      </x:c>
      <x:c r="H14" s="10" t="n">
        <x:f>IF(F14="","",F14*G14)</x:f>
        <x:v>2.5</x:v>
      </x:c>
    </x:row>
    <x:row r="15" ht="58" customHeight="1">
      <x:c r="A15" s="3" t="str">
        <x:v>J002</x:v>
      </x:c>
      <x:c r="B15" s="3" t="str">
        <x:v>核心职责</x:v>
      </x:c>
      <x:c r="C15" s="3" t="str">
        <x:v>用户需求洞察、AI行为分析与品牌定位策略</x:v>
      </x:c>
      <x:c r="D15" s="3" t="str">
        <x:v>E001,E008</x:v>
      </x:c>
      <x:c r="E15" s="3" t="str">
        <x:v>有反馈分类，无AI行为深挖和品牌策略</x:v>
      </x:c>
      <x:c r="F15" s="7" t="n">
        <x:v>0.5</x:v>
      </x:c>
      <x:c r="G15" s="10" t="n">
        <x:f>'规则与档案'!B5/3</x:f>
        <x:v>13.333333333333334</x:v>
      </x:c>
      <x:c r="H15" s="10" t="n">
        <x:f>IF(F15="","",F15*G15)</x:f>
        <x:v>6.666666666666667</x:v>
      </x:c>
    </x:row>
    <x:row r="16" ht="58" customHeight="1">
      <x:c r="A16" s="3" t="str">
        <x:v>J002</x:v>
      </x:c>
      <x:c r="B16" s="3" t="str">
        <x:v>核心职责</x:v>
      </x:c>
      <x:c r="C16" s="3" t="str">
        <x:v>多种营销手段、精准投放推荐与用户增长</x:v>
      </x:c>
      <x:c r="D16" s="3" t="str">
        <x:v>E001,E002</x:v>
      </x:c>
      <x:c r="E16" s="3" t="str">
        <x:v>活动可迁移，无投放和增长实战</x:v>
      </x:c>
      <x:c r="F16" s="7" t="n">
        <x:v>0.5</x:v>
      </x:c>
      <x:c r="G16" s="10" t="n">
        <x:f>'规则与档案'!B5/3</x:f>
        <x:v>13.333333333333334</x:v>
      </x:c>
      <x:c r="H16" s="10" t="n">
        <x:f>IF(F16="","",F16*G16)</x:f>
        <x:v>6.666666666666667</x:v>
      </x:c>
    </x:row>
    <x:row r="17" ht="58" customHeight="1">
      <x:c r="A17" s="3" t="str">
        <x:v>J002</x:v>
      </x:c>
      <x:c r="B17" s="3" t="str">
        <x:v>核心职责</x:v>
      </x:c>
      <x:c r="C17" s="3" t="str">
        <x:v>数据优化触达转化、创新营销</x:v>
      </x:c>
      <x:c r="D17" s="3" t="str">
        <x:v>E001,E008</x:v>
      </x:c>
      <x:c r="E17" s="3" t="str">
        <x:v>反馈和改进可迁移，无营销转化指标</x:v>
      </x:c>
      <x:c r="F17" s="7" t="n">
        <x:v>0.5</x:v>
      </x:c>
      <x:c r="G17" s="10" t="n">
        <x:f>'规则与档案'!B5/3</x:f>
        <x:v>13.333333333333334</x:v>
      </x:c>
      <x:c r="H17" s="10" t="n">
        <x:f>IF(F17="","",F17*G17)</x:f>
        <x:v>6.666666666666667</x:v>
      </x:c>
    </x:row>
    <x:row r="18" ht="58" customHeight="1">
      <x:c r="A18" s="3" t="str">
        <x:v>J002</x:v>
      </x:c>
      <x:c r="B18" s="3" t="str">
        <x:v>技能工具</x:v>
      </x:c>
      <x:c r="C18" s="3" t="str">
        <x:v>AI复杂问题拆解与输出判断</x:v>
      </x:c>
      <x:c r="D18" s="3" t="str">
        <x:v>E004</x:v>
      </x:c>
      <x:c r="E18" s="3" t="str">
        <x:v>活动AI实践迁移到营销</x:v>
      </x:c>
      <x:c r="F18" s="7" t="n">
        <x:v>0.5</x:v>
      </x:c>
      <x:c r="G18" s="10" t="n">
        <x:f>'规则与档案'!B6/2</x:f>
        <x:v>12.5</x:v>
      </x:c>
      <x:c r="H18" s="10" t="n">
        <x:f>IF(F18="","",F18*G18)</x:f>
        <x:v>6.25</x:v>
      </x:c>
    </x:row>
    <x:row r="19" ht="58" customHeight="1">
      <x:c r="A19" s="3" t="str">
        <x:v>J002</x:v>
      </x:c>
      <x:c r="B19" s="3" t="str">
        <x:v>技能工具</x:v>
      </x:c>
      <x:c r="C19" s="3" t="str">
        <x:v>逻辑归纳与方案呈现</x:v>
      </x:c>
      <x:c r="D19" s="3" t="str">
        <x:v>E001</x:v>
      </x:c>
      <x:c r="E19" s="3" t="str">
        <x:v>汇总和PPT，深度有限</x:v>
      </x:c>
      <x:c r="F19" s="7" t="n">
        <x:v>0.75</x:v>
      </x:c>
      <x:c r="G19" s="10" t="n">
        <x:f>'规则与档案'!B6/2</x:f>
        <x:v>12.5</x:v>
      </x:c>
      <x:c r="H19" s="10" t="n">
        <x:f>IF(F19="","",F19*G19)</x:f>
        <x:v>9.375</x:v>
      </x:c>
    </x:row>
    <x:row r="20" ht="58" customHeight="1">
      <x:c r="A20" s="3" t="str">
        <x:v>J002</x:v>
      </x:c>
      <x:c r="B20" s="3" t="str">
        <x:v>执行协作</x:v>
      </x:c>
      <x:c r="C20" s="3" t="str">
        <x:v>沟通协调</x:v>
      </x:c>
      <x:c r="D20" s="3" t="str">
        <x:v>E002,E003</x:v>
      </x:c>
      <x:c r="E20" s="3" t="str">
        <x:v>小团队直接实践</x:v>
      </x:c>
      <x:c r="F20" s="7" t="n">
        <x:v>0.75</x:v>
      </x:c>
      <x:c r="G20" s="10" t="n">
        <x:f>'规则与档案'!B7/2</x:f>
        <x:v>10</x:v>
      </x:c>
      <x:c r="H20" s="10" t="n">
        <x:f>IF(F20="","",F20*G20)</x:f>
        <x:v>7.5</x:v>
      </x:c>
    </x:row>
    <x:row r="21" ht="58" customHeight="1">
      <x:c r="A21" s="3" t="str">
        <x:v>J002</x:v>
      </x:c>
      <x:c r="B21" s="3" t="str">
        <x:v>执行协作</x:v>
      </x:c>
      <x:c r="C21" s="3" t="str">
        <x:v>目标执行与问题解决</x:v>
      </x:c>
      <x:c r="D21" s="3" t="str">
        <x:v>E003</x:v>
      </x:c>
      <x:c r="E21" s="3" t="str">
        <x:v>场地变更直接实践，规模有限</x:v>
      </x:c>
      <x:c r="F21" s="7" t="n">
        <x:v>0.75</x:v>
      </x:c>
      <x:c r="G21" s="10" t="n">
        <x:f>'规则与档案'!B7/2</x:f>
        <x:v>10</x:v>
      </x:c>
      <x:c r="H21" s="10" t="n">
        <x:f>IF(F21="","",F21*G21)</x:f>
        <x:v>7.5</x:v>
      </x:c>
    </x:row>
    <x:row r="22" ht="58" customHeight="1">
      <x:c r="A22" s="3" t="str">
        <x:v>J002</x:v>
      </x:c>
      <x:c r="B22" s="3" t="str">
        <x:v>行业业务</x:v>
      </x:c>
      <x:c r="C22" s="3" t="str">
        <x:v>商业意识、数据敏感与市场洞察</x:v>
      </x:c>
      <x:c r="D22" s="3" t="str">
        <x:v>E001,E008</x:v>
      </x:c>
      <x:c r="E22" s="3" t="str">
        <x:v>零售反馈基础，非营销洞察</x:v>
      </x:c>
      <x:c r="F22" s="7" t="n">
        <x:v>0.5</x:v>
      </x:c>
      <x:c r="G22" s="10" t="n">
        <x:f>'规则与档案'!B8/2</x:f>
        <x:v>5</x:v>
      </x:c>
      <x:c r="H22" s="10" t="n">
        <x:f>IF(F22="","",F22*G22)</x:f>
        <x:v>2.5</x:v>
      </x:c>
    </x:row>
    <x:row r="23" ht="58" customHeight="1">
      <x:c r="A23" s="3" t="str">
        <x:v>J002</x:v>
      </x:c>
      <x:c r="B23" s="3" t="str">
        <x:v>行业业务</x:v>
      </x:c>
      <x:c r="C23" s="3" t="str">
        <x:v>互联网方向与AI营销技术认知探索</x:v>
      </x:c>
      <x:c r="D23" s="3" t="str">
        <x:v>E008</x:v>
      </x:c>
      <x:c r="E23" s="3" t="str">
        <x:v>未提供AI营销技术认知证据</x:v>
      </x:c>
      <x:c r="F23" s="7" t="n">
        <x:v>0</x:v>
      </x:c>
      <x:c r="G23" s="10" t="n">
        <x:f>'规则与档案'!B8/2</x:f>
        <x:v>5</x:v>
      </x:c>
      <x:c r="H23" s="10" t="str">
        <x:f>IF(F23="","",F23*G23)</x:f>
      </x:c>
    </x:row>
    <x:row r="24" ht="58" customHeight="1">
      <x:c r="A24" s="3" t="str">
        <x:v>J002</x:v>
      </x:c>
      <x:c r="B24" s="3" t="str">
        <x:v>明确加分项</x:v>
      </x:c>
      <x:c r="C24" s="3" t="str">
        <x:v>相关专业优先</x:v>
      </x:c>
      <x:c r="D24" s="3" t="str">
        <x:v>E007</x:v>
      </x:c>
      <x:c r="E24" s="3" t="str">
        <x:v>工商管理相关，非专门营销</x:v>
      </x:c>
      <x:c r="F24" s="7" t="n">
        <x:v>0.75</x:v>
      </x:c>
      <x:c r="G24" s="10" t="n">
        <x:f>'规则与档案'!B9/2</x:f>
        <x:v>2.5</x:v>
      </x:c>
      <x:c r="H24" s="10" t="n">
        <x:f>IF(F24="","",F24*G24)</x:f>
        <x:v>1.875</x:v>
      </x:c>
    </x:row>
    <x:row r="25" ht="58" customHeight="1">
      <x:c r="A25" s="3" t="str">
        <x:v>J002</x:v>
      </x:c>
      <x:c r="B25" s="3" t="str">
        <x:v>明确加分项</x:v>
      </x:c>
      <x:c r="C25" s="3" t="str">
        <x:v>英语流利或韩日语</x:v>
      </x:c>
      <x:c r="D25" s="3" t="str">
        <x:v>E006</x:v>
      </x:c>
      <x:c r="E25" s="3" t="str">
        <x:v>未提供对应证明</x:v>
      </x:c>
      <x:c r="F25" s="7" t="n">
        <x:v>0</x:v>
      </x:c>
      <x:c r="G25" s="10" t="n">
        <x:f>'规则与档案'!B9/2</x:f>
        <x:v>2.5</x:v>
      </x:c>
      <x:c r="H25" s="10" t="str">
        <x:f>IF(F25="","",F25*G25)</x:f>
      </x:c>
    </x:row>
    <x:row r="26" ht="58" customHeight="1">
      <x:c r="A26" s="3" t="str">
        <x:v>J003</x:v>
      </x:c>
      <x:c r="B26" s="3" t="str">
        <x:v>核心职责</x:v>
      </x:c>
      <x:c r="C26" s="3" t="str">
        <x:v>管理者日程会议差旅、部门支持</x:v>
      </x:c>
      <x:c r="D26" s="3" t="str">
        <x:v>E002</x:v>
      </x:c>
      <x:c r="E26" s="3" t="str">
        <x:v>活动排期可迁移，无管理层差旅</x:v>
      </x:c>
      <x:c r="F26" s="7" t="n">
        <x:v>0.5</x:v>
      </x:c>
      <x:c r="G26" s="10" t="n">
        <x:f>'规则与档案'!B5/5</x:f>
        <x:v>8</x:v>
      </x:c>
      <x:c r="H26" s="10" t="n">
        <x:f>IF(F26="","",F26*G26)</x:f>
        <x:v>4</x:v>
      </x:c>
    </x:row>
    <x:row r="27" ht="58" customHeight="1">
      <x:c r="A27" s="3" t="str">
        <x:v>J003</x:v>
      </x:c>
      <x:c r="B27" s="3" t="str">
        <x:v>核心职责</x:v>
      </x:c>
      <x:c r="C27" s="3" t="str">
        <x:v>多职能接口、资产费用合同文档统筹</x:v>
      </x:c>
      <x:c r="D27" s="3" t="str">
        <x:v>E001,E002</x:v>
      </x:c>
      <x:c r="E27" s="3" t="str">
        <x:v>文档预算基础可迁移，其余未提供</x:v>
      </x:c>
      <x:c r="F27" s="7" t="n">
        <x:v>0.5</x:v>
      </x:c>
      <x:c r="G27" s="10" t="n">
        <x:f>'规则与档案'!B5/5</x:f>
        <x:v>8</x:v>
      </x:c>
      <x:c r="H27" s="10" t="n">
        <x:f>IF(F27="","",F27*G27)</x:f>
        <x:v>4</x:v>
      </x:c>
    </x:row>
    <x:row r="28" ht="58" customHeight="1">
      <x:c r="A28" s="3" t="str">
        <x:v>J003</x:v>
      </x:c>
      <x:c r="B28" s="3" t="str">
        <x:v>核心职责</x:v>
      </x:c>
      <x:c r="C28" s="3" t="str">
        <x:v>制定实施优化制度流程</x:v>
      </x:c>
      <x:c r="D28" s="3" t="str">
        <x:v>E003</x:v>
      </x:c>
      <x:c r="E28" s="3" t="str">
        <x:v>活动检查清单可迁移</x:v>
      </x:c>
      <x:c r="F28" s="7" t="n">
        <x:v>0.5</x:v>
      </x:c>
      <x:c r="G28" s="10" t="n">
        <x:f>'规则与档案'!B5/5</x:f>
        <x:v>8</x:v>
      </x:c>
      <x:c r="H28" s="10" t="n">
        <x:f>IF(F28="","",F28*G28)</x:f>
        <x:v>4</x:v>
      </x:c>
    </x:row>
    <x:row r="29" ht="58" customHeight="1">
      <x:c r="A29" s="3" t="str">
        <x:v>J003</x:v>
      </x:c>
      <x:c r="B29" s="3" t="str">
        <x:v>核心职责</x:v>
      </x:c>
      <x:c r="C29" s="3" t="str">
        <x:v>文化建设与体系活动组织（同义合并）</x:v>
      </x:c>
      <x:c r="D29" s="3" t="str">
        <x:v>E002</x:v>
      </x:c>
      <x:c r="E29" s="3" t="str">
        <x:v>校园活动可迁移，非组织文化体系</x:v>
      </x:c>
      <x:c r="F29" s="7" t="n">
        <x:v>0.5</x:v>
      </x:c>
      <x:c r="G29" s="10" t="n">
        <x:f>'规则与档案'!B5/5</x:f>
        <x:v>8</x:v>
      </x:c>
      <x:c r="H29" s="10" t="n">
        <x:f>IF(F29="","",F29*G29)</x:f>
        <x:v>4</x:v>
      </x:c>
    </x:row>
    <x:row r="30" ht="58" customHeight="1">
      <x:c r="A30" s="3" t="str">
        <x:v>J003</x:v>
      </x:c>
      <x:c r="B30" s="3" t="str">
        <x:v>核心职责</x:v>
      </x:c>
      <x:c r="C30" s="3" t="str">
        <x:v>管理规定传达落地</x:v>
      </x:c>
      <x:c r="D30" s="3" t="str">
        <x:v>E003</x:v>
      </x:c>
      <x:c r="E30" s="3" t="str">
        <x:v>活动变更通知可迁移</x:v>
      </x:c>
      <x:c r="F30" s="7" t="n">
        <x:v>0.5</x:v>
      </x:c>
      <x:c r="G30" s="10" t="n">
        <x:f>'规则与档案'!B5/5</x:f>
        <x:v>8</x:v>
      </x:c>
      <x:c r="H30" s="10" t="n">
        <x:f>IF(F30="","",F30*G30)</x:f>
        <x:v>4</x:v>
      </x:c>
    </x:row>
    <x:row r="31" ht="58" customHeight="1">
      <x:c r="A31" s="3" t="str">
        <x:v>J003</x:v>
      </x:c>
      <x:c r="B31" s="3" t="str">
        <x:v>技能工具</x:v>
      </x:c>
      <x:c r="C31" s="3" t="str">
        <x:v>办公软件与设备</x:v>
      </x:c>
      <x:c r="D31" s="3" t="str">
        <x:v>E001</x:v>
      </x:c>
      <x:c r="E31" s="3" t="str">
        <x:v>软件应用明确，设备未提供</x:v>
      </x:c>
      <x:c r="F31" s="7" t="n">
        <x:v>0.75</x:v>
      </x:c>
      <x:c r="G31" s="10" t="n">
        <x:f>'规则与档案'!B6/2</x:f>
        <x:v>12.5</x:v>
      </x:c>
      <x:c r="H31" s="10" t="n">
        <x:f>IF(F31="","",F31*G31)</x:f>
        <x:v>9.375</x:v>
      </x:c>
    </x:row>
    <x:row r="32" ht="58" customHeight="1">
      <x:c r="A32" s="3" t="str">
        <x:v>J003</x:v>
      </x:c>
      <x:c r="B32" s="3" t="str">
        <x:v>技能工具</x:v>
      </x:c>
      <x:c r="C32" s="3" t="str">
        <x:v>独立组织大型团队活动并创新</x:v>
      </x:c>
      <x:c r="D32" s="3" t="str">
        <x:v>E002</x:v>
      </x:c>
      <x:c r="E32" s="3" t="str">
        <x:v>小规模活动可迁移，无大型团队经验</x:v>
      </x:c>
      <x:c r="F32" s="7" t="n">
        <x:v>0.5</x:v>
      </x:c>
      <x:c r="G32" s="10" t="n">
        <x:f>'规则与档案'!B6/2</x:f>
        <x:v>12.5</x:v>
      </x:c>
      <x:c r="H32" s="10" t="n">
        <x:f>IF(F32="","",F32*G32)</x:f>
        <x:v>6.25</x:v>
      </x:c>
    </x:row>
    <x:row r="33" ht="58" customHeight="1">
      <x:c r="A33" s="3" t="str">
        <x:v>J003</x:v>
      </x:c>
      <x:c r="B33" s="3" t="str">
        <x:v>执行协作</x:v>
      </x:c>
      <x:c r="C33" s="3" t="str">
        <x:v>执行抗压、时间情绪管理、沟通</x:v>
      </x:c>
      <x:c r="D33" s="3" t="str">
        <x:v>E003</x:v>
      </x:c>
      <x:c r="E33" s="3" t="str">
        <x:v>仅异常沟通证据，不推断情绪和抗压</x:v>
      </x:c>
      <x:c r="F33" s="7" t="n">
        <x:v>0.5</x:v>
      </x:c>
      <x:c r="G33" s="10" t="n">
        <x:f>'规则与档案'!B7/3</x:f>
        <x:v>6.666666666666667</x:v>
      </x:c>
      <x:c r="H33" s="10" t="n">
        <x:f>IF(F33="","",F33*G33)</x:f>
        <x:v>3.3333333333333335</x:v>
      </x:c>
    </x:row>
    <x:row r="34" ht="58" customHeight="1">
      <x:c r="A34" s="3" t="str">
        <x:v>J003</x:v>
      </x:c>
      <x:c r="B34" s="3" t="str">
        <x:v>执行协作</x:v>
      </x:c>
      <x:c r="C34" s="3" t="str">
        <x:v>服务责任与团队合作</x:v>
      </x:c>
      <x:c r="D34" s="3" t="str">
        <x:v>E001,E002</x:v>
      </x:c>
      <x:c r="E34" s="3" t="str">
        <x:v>服务与合作直接有限；不推断人格</x:v>
      </x:c>
      <x:c r="F34" s="7" t="n">
        <x:v>0.75</x:v>
      </x:c>
      <x:c r="G34" s="10" t="n">
        <x:f>'规则与档案'!B7/3</x:f>
        <x:v>6.666666666666667</x:v>
      </x:c>
      <x:c r="H34" s="10" t="n">
        <x:f>IF(F34="","",F34*G34)</x:f>
        <x:v>5</x:v>
      </x:c>
    </x:row>
    <x:row r="35" ht="58" customHeight="1">
      <x:c r="A35" s="3" t="str">
        <x:v>J003</x:v>
      </x:c>
      <x:c r="B35" s="3" t="str">
        <x:v>执行协作</x:v>
      </x:c>
      <x:c r="C35" s="3" t="str">
        <x:v>例行条理、全局预见</x:v>
      </x:c>
      <x:c r="D35" s="3" t="str">
        <x:v>E002,E003</x:v>
      </x:c>
      <x:c r="E35" s="3" t="str">
        <x:v>清单和复盘可迁移</x:v>
      </x:c>
      <x:c r="F35" s="7" t="n">
        <x:v>0.5</x:v>
      </x:c>
      <x:c r="G35" s="10" t="n">
        <x:f>'规则与档案'!B7/3</x:f>
        <x:v>6.666666666666667</x:v>
      </x:c>
      <x:c r="H35" s="10" t="n">
        <x:f>IF(F35="","",F35*G35)</x:f>
        <x:v>3.3333333333333335</x:v>
      </x:c>
    </x:row>
    <x:row r="36" ht="58" customHeight="1">
      <x:c r="A36" s="3" t="str">
        <x:v>J003</x:v>
      </x:c>
      <x:c r="B36" s="3" t="str">
        <x:v>明确加分项</x:v>
      </x:c>
      <x:c r="C36" s="3" t="str">
        <x:v>大型公司文秘实习</x:v>
      </x:c>
      <x:c r="D36" s="3" t="str">
        <x:v>E001</x:v>
      </x:c>
      <x:c r="E36" s="3" t="str">
        <x:v>零售服务不等同大型公司文秘</x:v>
      </x:c>
      <x:c r="F36" s="7" t="n">
        <x:v>0</x:v>
      </x:c>
      <x:c r="G36" s="10" t="n">
        <x:f>'规则与档案'!B9/2</x:f>
        <x:v>2.5</x:v>
      </x:c>
      <x:c r="H36" s="10" t="str">
        <x:f>IF(F36="","",F36*G36)</x:f>
      </x:c>
    </x:row>
    <x:row r="37" ht="58" customHeight="1">
      <x:c r="A37" s="3" t="str">
        <x:v>J003</x:v>
      </x:c>
      <x:c r="B37" s="3" t="str">
        <x:v>明确加分项</x:v>
      </x:c>
      <x:c r="C37" s="3" t="str">
        <x:v>英语能力突出</x:v>
      </x:c>
      <x:c r="D37" s="3" t="str">
        <x:v>E006</x:v>
      </x:c>
      <x:c r="E37" s="3" t="str">
        <x:v>仅学习基础，不等同突出</x:v>
      </x:c>
      <x:c r="F37" s="7" t="n">
        <x:v>0.25</x:v>
      </x:c>
      <x:c r="G37" s="10" t="n">
        <x:f>'规则与档案'!B9/2</x:f>
        <x:v>2.5</x:v>
      </x:c>
      <x:c r="H37" s="10" t="n">
        <x:f>IF(F37="","",F37*G37)</x:f>
        <x:v>0.625</x:v>
      </x:c>
    </x:row>
  </x:sheetData>
  <x:pageMargins left="0.7" right="0.7" top="0.75" bottom="0.75" header="0.3" footer="0.3"/>
  <x:tableParts count="1">
    <x:tablePart xmlns:r="http://schemas.openxmlformats.org/officeDocument/2006/relationships" r:id="R19a70ef7925849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8" hidden="0" customWidth="1"/>
    <x:col min="4" max="4" width="55" hidden="0" customWidth="1"/>
    <x:col min="5" max="5" width="58" hidden="0" customWidth="1"/>
    <x:col min="6" max="6" width="58" hidden="0" customWidth="1"/>
    <x:col min="7" max="7" width="25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8" customHeight="1">
      <x:c r="A2" s="8" t="str">
        <x:v>真实资格核验记录（模拟运行不改变此处事实）</x:v>
      </x:c>
      <x:c r="B2" s="3"/>
      <x:c r="C2" s="3"/>
      <x:c r="D2" s="3"/>
      <x:c r="E2" s="3"/>
      <x:c r="F2" s="3"/>
      <x:c r="G2" s="3"/>
    </x:row>
    <x:row r="3" ht="24" customHeight="1">
      <x:c r="A3" s="9"/>
      <x:c r="B3" s="3"/>
      <x:c r="C3" s="3"/>
      <x:c r="D3" s="3"/>
      <x:c r="E3" s="3"/>
      <x:c r="F3" s="3"/>
      <x:c r="G3" s="3"/>
    </x:row>
    <x:row r="4" ht="34" customHeight="1">
      <x:c r="A4" s="5" t="str">
        <x:v>岗位ID</x:v>
      </x:c>
      <x:c r="B4" s="5" t="str">
        <x:v>岗位</x:v>
      </x:c>
      <x:c r="C4" s="5" t="str">
        <x:v>资格状态</x:v>
      </x:c>
      <x:c r="D4" s="5" t="str">
        <x:v>待核验内容</x:v>
      </x:c>
      <x:c r="E4" s="5" t="str">
        <x:v>已有证据</x:v>
      </x:c>
      <x:c r="F4" s="5" t="str">
        <x:v>下一步</x:v>
      </x:c>
      <x:c r="G4" s="5" t="str">
        <x:v>处理结果</x:v>
      </x:c>
    </x:row>
    <x:row r="5" ht="105" customHeight="1">
      <x:c r="A5" s="3" t="str">
        <x:v>J001</x:v>
      </x:c>
      <x:c r="B5" s="3" t="str">
        <x:v>项目管理</x:v>
      </x:c>
      <x:c r="C5" s="3" t="str">
        <x:v>待核验</x:v>
      </x:c>
      <x:c r="D5" s="3" t="str">
        <x:v>毕业日期范围、全职用工类型、上海部门名额未核实</x:v>
      </x:c>
      <x:c r="E5" s="3" t="str">
        <x:v>2027年6月本科毕业；列表含上海；详情可读且显示投递按钮</x:v>
      </x:c>
      <x:c r="F5" s="3" t="str">
        <x:v>查看校招完整资格说明及部门地点；按钮不证明上海有名额</x:v>
      </x:c>
      <x:c r="G5" s="3" t="str">
        <x:v>未进行实际投递</x:v>
      </x:c>
    </x:row>
    <x:row r="6" ht="105" customHeight="1">
      <x:c r="A6" s="3" t="str">
        <x:v>J002</x:v>
      </x:c>
      <x:c r="B6" s="3" t="str">
        <x:v>市场营销</x:v>
      </x:c>
      <x:c r="C6" s="3" t="str">
        <x:v>待核验</x:v>
      </x:c>
      <x:c r="D6" s="3" t="str">
        <x:v>毕业日期范围、全职用工类型、上海部门名额未核实</x:v>
      </x:c>
      <x:c r="E6" s="3" t="str">
        <x:v>2027年6月本科毕业；列表含上海；详情可读且显示投递按钮</x:v>
      </x:c>
      <x:c r="F6" s="3" t="str">
        <x:v>查看校招完整资格说明及部门地点；按钮不证明上海有名额</x:v>
      </x:c>
      <x:c r="G6" s="3" t="str">
        <x:v>未进行实际投递</x:v>
      </x:c>
    </x:row>
    <x:row r="7" ht="105" customHeight="1">
      <x:c r="A7" s="3" t="str">
        <x:v>J003</x:v>
      </x:c>
      <x:c r="B7" s="3" t="str">
        <x:v>秘书</x:v>
      </x:c>
      <x:c r="C7" s="3" t="str">
        <x:v>待核验</x:v>
      </x:c>
      <x:c r="D7" s="3" t="str">
        <x:v>毕业日期范围、全职用工类型、上海部门名额未核实</x:v>
      </x:c>
      <x:c r="E7" s="3" t="str">
        <x:v>2027年6月本科毕业；列表含上海；详情可读且显示投递按钮</x:v>
      </x:c>
      <x:c r="F7" s="3" t="str">
        <x:v>查看校招完整资格说明及部门地点；按钮不证明上海有名额</x:v>
      </x:c>
      <x:c r="G7" s="3" t="str">
        <x:v>未进行实际投递</x:v>
      </x:c>
    </x:row>
  </x:sheetData>
  <x:pageMargins left="0.7" right="0.7" top="0.75" bottom="0.75" header="0.3" footer="0.3"/>
  <x:tableParts count="1">
    <x:tablePart xmlns:r="http://schemas.openxmlformats.org/officeDocument/2006/relationships" r:id="R5b732cc82c3c48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0" hidden="0" customWidth="1"/>
    <x:col min="3" max="3" width="95" hidden="0" customWidth="1"/>
  </x:cols>
  <x:sheetData>
    <x:row r="1">
      <x:c r="A1" s="3"/>
      <x:c r="B1" s="3"/>
      <x:c r="C1" s="3"/>
    </x:row>
    <x:row r="2" ht="28" customHeight="1">
      <x:c r="A2" s="8" t="str">
        <x:v>规则v1.1与虚构档案</x:v>
      </x:c>
      <x:c r="B2" s="3"/>
      <x:c r="C2" s="3"/>
    </x:row>
    <x:row r="3" ht="24" customHeight="1">
      <x:c r="A3" s="9"/>
      <x:c r="B3" s="3"/>
      <x:c r="C3" s="3"/>
    </x:row>
    <x:row r="4" ht="34" customHeight="1">
      <x:c r="A4" s="5" t="str">
        <x:v>维度／证据ID</x:v>
      </x:c>
      <x:c r="B4" s="5" t="str">
        <x:v>权重／类别</x:v>
      </x:c>
      <x:c r="C4" s="5" t="str">
        <x:v>规则／固定虚构档案</x:v>
      </x:c>
    </x:row>
    <x:row r="5">
      <x:c r="A5" s="3" t="str">
        <x:v>核心职责</x:v>
      </x:c>
      <x:c r="B5" s="3" t="n">
        <x:v>40</x:v>
      </x:c>
      <x:c r="C5" s="3" t="str">
        <x:v>同维度要求等分权重</x:v>
      </x:c>
    </x:row>
    <x:row r="6">
      <x:c r="A6" s="3" t="str">
        <x:v>技能工具</x:v>
      </x:c>
      <x:c r="B6" s="3" t="n">
        <x:v>25</x:v>
      </x:c>
      <x:c r="C6" s="3" t="str">
        <x:v>同维度要求等分权重</x:v>
      </x:c>
    </x:row>
    <x:row r="7">
      <x:c r="A7" s="3" t="str">
        <x:v>执行协作</x:v>
      </x:c>
      <x:c r="B7" s="3" t="n">
        <x:v>20</x:v>
      </x:c>
      <x:c r="C7" s="3" t="str">
        <x:v>同维度要求等分权重</x:v>
      </x:c>
    </x:row>
    <x:row r="8">
      <x:c r="A8" s="3" t="str">
        <x:v>行业业务</x:v>
      </x:c>
      <x:c r="B8" s="3" t="n">
        <x:v>10</x:v>
      </x:c>
      <x:c r="C8" s="3" t="str">
        <x:v>同维度要求等分权重</x:v>
      </x:c>
    </x:row>
    <x:row r="9">
      <x:c r="A9" s="3" t="str">
        <x:v>明确加分项</x:v>
      </x:c>
      <x:c r="B9" s="3" t="n">
        <x:v>5</x:v>
      </x:c>
      <x:c r="C9" s="3" t="str">
        <x:v>同维度要求等分权重</x:v>
      </x:c>
    </x:row>
    <x:row r="10">
      <x:c r="A10" s="3" t="str">
        <x:v>等级</x:v>
      </x:c>
      <x:c r="B10" s="3" t="str">
        <x:v>1 / .75 / .5 / .25 / 0</x:v>
      </x:c>
      <x:c r="C10" s="3" t="str">
        <x:v>充分直接／有限直接／可迁移／仅学习／无可用证据</x:v>
      </x:c>
    </x:row>
    <x:row r="11">
      <x:c r="A11" s="3" t="str">
        <x:v>资格</x:v>
      </x:c>
      <x:c r="B11" s="3" t="str">
        <x:v>未知即待判断</x:v>
      </x:c>
      <x:c r="C11" s="3" t="str">
        <x:v>模拟运行假设资格通过；真实运行未知即待判断</x:v>
      </x:c>
    </x:row>
    <x:row r="12">
      <x:c r="A12" s="3" t="str">
        <x:v>分母</x:v>
      </x:c>
      <x:c r="B12" s="3" t="str">
        <x:v>不适用维度排除</x:v>
      </x:c>
      <x:c r="C12" s="3" t="str">
        <x:v>秘书未单列行业业务要求，有效权重90；其他100</x:v>
      </x:c>
    </x:row>
    <x:row r="13">
      <x:c r="A13" s="3" t="str">
        <x:v>性质</x:v>
      </x:c>
      <x:c r="B13" s="3" t="str">
        <x:v>全部简历事实虚构</x:v>
      </x:c>
      <x:c r="C13" s="3" t="str">
        <x:v>条件性证据分不是录用概率；阈值未经招聘结果校准</x:v>
      </x:c>
    </x:row>
    <x:row r="14">
      <x:c r="A14" s="3" t="str">
        <x:v>更新</x:v>
      </x:c>
      <x:c r="B14" s="3" t="str">
        <x:v>黄色比例单元格可修改</x:v>
      </x:c>
      <x:c r="C14" s="3" t="str">
        <x:v>公式更新后需手动排序；当前三岗均为次优先，不强行制造高分</x:v>
      </x:c>
    </x:row>
    <x:row r="15">
      <x:c r="A15" s="3" t="str">
        <x:v>来源</x:v>
      </x:c>
      <x:c r="B15" s="3" t="str">
        <x:v>腾讯官方校招</x:v>
      </x:c>
      <x:c r="C15" s="3" t="str">
        <x:v>2026-10-03 UTC；3条完整JD，非17条全部处理</x:v>
      </x:c>
    </x:row>
    <x:row r="16">
      <x:c r="A16" s="3" t="str">
        <x:v>E001</x:v>
      </x:c>
      <x:c r="B16" s="3" t="str">
        <x:v>零售实习</x:v>
      </x:c>
      <x:c r="C16" s="3" t="str">
        <x:v>120条顾客反馈，Excel汇总，Word检查清单、PPT汇报；3场活动、4名同事、90名参与者</x:v>
      </x:c>
    </x:row>
    <x:row r="17">
      <x:c r="A17" s="3" t="str">
        <x:v>E002</x:v>
      </x:c>
      <x:c r="B17" s="3" t="str">
        <x:v>校园活动负责人</x:v>
      </x:c>
      <x:c r="C17" s="3" t="str">
        <x:v>6名志愿者、4场活动、160人次；排期、责任、物料与预算表</x:v>
      </x:c>
    </x:row>
    <x:row r="18">
      <x:c r="A18" s="3" t="str">
        <x:v>E003</x:v>
      </x:c>
      <x:c r="B18" s="3" t="str">
        <x:v>异常处理和复盘</x:v>
      </x:c>
      <x:c r="C18" s="3" t="str">
        <x:v>场地变更协调、通知与复盘检查清单</x:v>
      </x:c>
    </x:row>
    <x:row r="19">
      <x:c r="A19" s="3" t="str">
        <x:v>E004</x:v>
      </x:c>
      <x:c r="B19" s="3" t="str">
        <x:v>AI实践</x:v>
      </x:c>
      <x:c r="C19" s="3" t="str">
        <x:v>任务拆解、排期和复盘提纲；核验日期、负责人、预算、场地，纠正不可执行建议</x:v>
      </x:c>
    </x:row>
    <x:row r="20">
      <x:c r="A20" s="3" t="str">
        <x:v>E005</x:v>
      </x:c>
      <x:c r="B20" s="3" t="str">
        <x:v>课程知识</x:v>
      </x:c>
      <x:c r="C20" s="3" t="str">
        <x:v>了解项目生命周期、敏捷与看板；无软件开发项目</x:v>
      </x:c>
    </x:row>
    <x:row r="21">
      <x:c r="A21" s="3" t="str">
        <x:v>E006</x:v>
      </x:c>
      <x:c r="B21" s="3" t="str">
        <x:v>英语和边界</x:v>
      </x:c>
      <x:c r="C21" s="3" t="str">
        <x:v>四级、一般英文阅读；无流利口语、小语种、软件工程实习</x:v>
      </x:c>
    </x:row>
    <x:row r="22">
      <x:c r="A22" s="3" t="str">
        <x:v>E007</x:v>
      </x:c>
      <x:c r="B22" s="3" t="str">
        <x:v>学历与偏好</x:v>
      </x:c>
      <x:c r="C22" s="3" t="str">
        <x:v>国内工商管理本科，预计2027年6月毕业，上海；希望长期做协调服务项目推进</x:v>
      </x:c>
    </x:row>
    <x:row r="23">
      <x:c r="A23" s="3" t="str">
        <x:v>E009</x:v>
      </x:c>
      <x:c r="B23" s="3" t="str">
        <x:v>补充虚构资格</x:v>
      </x:c>
      <x:c r="C23" s="3" t="str">
        <x:v>2027-06-30预计取得全日制本科学历学位；首次应届求职，无正式劳动经历；2027-07-01起可上海全职入职，不要求远程；可参加远程面试</x:v>
      </x:c>
    </x:row>
    <x:row r="24">
      <x:c r="A24" s="3" t="str">
        <x:v>A001</x:v>
      </x:c>
      <x:c r="B24" s="3" t="str">
        <x:v>模拟假设（非网站事实）</x:v>
      </x:c>
      <x:c r="C24" s="3" t="str">
        <x:v>假设2027校招毕业日期范围包含2027-06-30，相关上海岗位为毕业后全职且接受2027-07-01入职；仅为跑通案例</x:v>
      </x:c>
    </x:row>
    <x:row r="25">
      <x:c r="A25" s="3" t="str">
        <x:v>E008</x:v>
      </x:c>
      <x:c r="B25" s="3" t="str">
        <x:v>校园反馈与兴趣</x:v>
      </x:c>
      <x:c r="C25" s="3" t="str">
        <x:v>30份活动反馈；互联网产品兴趣；无AI营销技术证据</x:v>
      </x:c>
    </x:row>
  </x:sheetData>
  <x:pageMargins left="0.7" right="0.7" top="0.75" bottom="0.75" header="0.3" footer="0.3"/>
  <x:tableParts count="1">
    <x:tablePart xmlns:r="http://schemas.openxmlformats.org/officeDocument/2006/relationships" r:id="Raf0de4ad5ed2427d"/>
  </x:tableParts>
</x:worksheet>
</file>